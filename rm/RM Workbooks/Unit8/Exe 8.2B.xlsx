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Downloads\"/>
    </mc:Choice>
  </mc:AlternateContent>
  <xr:revisionPtr revIDLastSave="0" documentId="13_ncr:1_{068D1BD7-EE1B-4125-B50C-1A54BA388657}" xr6:coauthVersionLast="47" xr6:coauthVersionMax="47" xr10:uidLastSave="{00000000-0000-0000-0000-000000000000}"/>
  <bookViews>
    <workbookView xWindow="2985" yWindow="2985" windowWidth="28800" windowHeight="15345" xr2:uid="{00000000-000D-0000-FFFF-FFFF00000000}"/>
  </bookViews>
  <sheets>
    <sheet name="Diets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5" i="1"/>
  <c r="F26" i="1"/>
  <c r="F9" i="1"/>
  <c r="F8" i="1"/>
  <c r="F7" i="1"/>
  <c r="F6" i="1"/>
  <c r="F5" i="1"/>
  <c r="F4" i="1"/>
  <c r="F10" i="1" l="1"/>
</calcChain>
</file>

<file path=xl/sharedStrings.xml><?xml version="1.0" encoding="utf-8"?>
<sst xmlns="http://schemas.openxmlformats.org/spreadsheetml/2006/main" count="118" uniqueCount="13">
  <si>
    <t>Diet</t>
  </si>
  <si>
    <t>Wtloss</t>
  </si>
  <si>
    <t>A</t>
  </si>
  <si>
    <t>Diet A</t>
  </si>
  <si>
    <t>n</t>
  </si>
  <si>
    <t>Mean</t>
  </si>
  <si>
    <t>SD</t>
  </si>
  <si>
    <t>Median</t>
  </si>
  <si>
    <t>Q1</t>
  </si>
  <si>
    <t>Q3</t>
  </si>
  <si>
    <t>IQR</t>
  </si>
  <si>
    <t>Diet 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</si>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</sst>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O10" sqref="O10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 t="s">
        <v>2</v>
      </c>
      <c r="B2" s="3">
        <v>3.7090000000000001</v>
      </c>
    </row>
    <row r="3" spans="1:6" x14ac:dyDescent="0.2">
      <c r="A3" s="2" t="s">
        <v>2</v>
      </c>
      <c r="B3" s="3">
        <v>7.0869999999999997</v>
      </c>
      <c r="D3" s="4" t="s">
        <v>3</v>
      </c>
    </row>
    <row r="4" spans="1:6" x14ac:dyDescent="0.2">
      <c r="A4" s="2" t="s">
        <v>2</v>
      </c>
      <c r="B4" s="3">
        <v>6.7539999999999996</v>
      </c>
      <c r="E4" s="4" t="s">
        <v>4</v>
      </c>
      <c r="F4" s="5">
        <f>COUNT(B2:B51)</f>
        <v>50</v>
      </c>
    </row>
    <row r="5" spans="1:6" x14ac:dyDescent="0.2">
      <c r="A5" s="2" t="s">
        <v>2</v>
      </c>
      <c r="B5" s="3">
        <v>8.9939999999999998</v>
      </c>
      <c r="E5" s="4" t="s">
        <v>5</v>
      </c>
      <c r="F5" s="6">
        <f>AVERAGE(B2:B51)</f>
        <v>5.3411999999999988</v>
      </c>
    </row>
    <row r="6" spans="1:6" x14ac:dyDescent="0.2">
      <c r="A6" s="2" t="s">
        <v>2</v>
      </c>
      <c r="B6" s="3">
        <v>9.077</v>
      </c>
      <c r="E6" s="4" t="s">
        <v>6</v>
      </c>
      <c r="F6" s="6">
        <f>STDEV(B2:B51)</f>
        <v>2.5356026132351492</v>
      </c>
    </row>
    <row r="7" spans="1:6" x14ac:dyDescent="0.2">
      <c r="A7" s="2" t="s">
        <v>2</v>
      </c>
      <c r="B7" s="3">
        <v>6.4130000000000003</v>
      </c>
      <c r="E7" s="4" t="s">
        <v>7</v>
      </c>
      <c r="F7" s="6">
        <f>MEDIAN(B2:B51)</f>
        <v>5.6419999999999995</v>
      </c>
    </row>
    <row r="8" spans="1:6" x14ac:dyDescent="0.2">
      <c r="A8" s="2" t="s">
        <v>2</v>
      </c>
      <c r="B8" s="3">
        <v>5.8769999999999998</v>
      </c>
      <c r="E8" s="4" t="s">
        <v>8</v>
      </c>
      <c r="F8" s="6">
        <f>QUARTILE(B2:B51,1)</f>
        <v>3.7482500000000001</v>
      </c>
    </row>
    <row r="9" spans="1:6" x14ac:dyDescent="0.2">
      <c r="A9" s="2" t="s">
        <v>2</v>
      </c>
      <c r="B9" s="3">
        <v>2.5720000000000001</v>
      </c>
      <c r="E9" s="4" t="s">
        <v>9</v>
      </c>
      <c r="F9" s="6">
        <f>QUARTILE(B2:B51,3)</f>
        <v>7.0327500000000001</v>
      </c>
    </row>
    <row r="10" spans="1:6" x14ac:dyDescent="0.2">
      <c r="A10" s="2" t="s">
        <v>2</v>
      </c>
      <c r="B10" s="3">
        <v>7.52</v>
      </c>
      <c r="E10" s="4" t="s">
        <v>10</v>
      </c>
      <c r="F10" s="6">
        <f>F9-F8</f>
        <v>3.2845</v>
      </c>
    </row>
    <row r="11" spans="1:6" x14ac:dyDescent="0.2">
      <c r="A11" s="2" t="s">
        <v>2</v>
      </c>
      <c r="B11" s="3">
        <v>6.8810000000000002</v>
      </c>
    </row>
    <row r="12" spans="1:6" x14ac:dyDescent="0.2">
      <c r="A12" s="2" t="s">
        <v>2</v>
      </c>
      <c r="B12" s="3">
        <v>7.2649999999999997</v>
      </c>
    </row>
    <row r="13" spans="1:6" x14ac:dyDescent="0.2">
      <c r="A13" s="2" t="s">
        <v>2</v>
      </c>
      <c r="B13" s="3">
        <v>3.4769999999999999</v>
      </c>
    </row>
    <row r="14" spans="1:6" x14ac:dyDescent="0.2">
      <c r="A14" s="2" t="s">
        <v>2</v>
      </c>
      <c r="B14" s="3">
        <v>3.7549999999999999</v>
      </c>
    </row>
    <row r="15" spans="1:6" x14ac:dyDescent="0.2">
      <c r="A15" s="2" t="s">
        <v>2</v>
      </c>
      <c r="B15" s="3">
        <v>8.76</v>
      </c>
    </row>
    <row r="16" spans="1:6" x14ac:dyDescent="0.2">
      <c r="A16" s="2" t="s">
        <v>2</v>
      </c>
      <c r="B16" s="3">
        <v>7.032</v>
      </c>
    </row>
    <row r="17" spans="1:6" x14ac:dyDescent="0.2">
      <c r="A17" s="2" t="s">
        <v>2</v>
      </c>
      <c r="B17" s="3">
        <v>9.0519999999999996</v>
      </c>
    </row>
    <row r="18" spans="1:6" x14ac:dyDescent="0.2">
      <c r="A18" s="2" t="s">
        <v>2</v>
      </c>
      <c r="B18" s="3">
        <v>10.061999999999999</v>
      </c>
    </row>
    <row r="19" spans="1:6" x14ac:dyDescent="0.2">
      <c r="A19" s="2" t="s">
        <v>2</v>
      </c>
      <c r="B19" s="3">
        <v>4.84</v>
      </c>
    </row>
    <row r="20" spans="1:6" x14ac:dyDescent="0.2">
      <c r="A20" s="2" t="s">
        <v>2</v>
      </c>
      <c r="B20" s="3">
        <v>6.4489999999999998</v>
      </c>
    </row>
    <row r="21" spans="1:6" x14ac:dyDescent="0.2">
      <c r="A21" s="2" t="s">
        <v>2</v>
      </c>
      <c r="B21" s="3">
        <v>9.0190000000000001</v>
      </c>
    </row>
    <row r="22" spans="1:6" x14ac:dyDescent="0.2">
      <c r="A22" s="2" t="s">
        <v>2</v>
      </c>
      <c r="B22" s="3">
        <v>-1.7150000000000001</v>
      </c>
    </row>
    <row r="23" spans="1:6" x14ac:dyDescent="0.2">
      <c r="A23" s="2" t="s">
        <v>2</v>
      </c>
      <c r="B23" s="3">
        <v>4.718</v>
      </c>
      <c r="D23" s="4" t="s">
        <v>11</v>
      </c>
    </row>
    <row r="24" spans="1:6" x14ac:dyDescent="0.2">
      <c r="A24" s="2" t="s">
        <v>2</v>
      </c>
      <c r="B24" s="3">
        <v>4.0069999999999997</v>
      </c>
      <c r="E24" s="4" t="s">
        <v>4</v>
      </c>
      <c r="F24" s="5">
        <f>COUNT(B52:B101)</f>
        <v>50</v>
      </c>
    </row>
    <row r="25" spans="1:6" x14ac:dyDescent="0.2">
      <c r="A25" s="2" t="s">
        <v>2</v>
      </c>
      <c r="B25" s="3">
        <v>7.2409999999999997</v>
      </c>
      <c r="E25" s="4" t="s">
        <v>5</v>
      </c>
      <c r="F25" s="6">
        <f>AVERAGE(B52:B101)</f>
        <v>3.709960000000001</v>
      </c>
    </row>
    <row r="26" spans="1:6" x14ac:dyDescent="0.2">
      <c r="A26" s="2" t="s">
        <v>2</v>
      </c>
      <c r="B26" s="3">
        <v>2.1280000000000001</v>
      </c>
      <c r="E26" s="4" t="s">
        <v>6</v>
      </c>
      <c r="F26" s="6">
        <f>STDEV(B52:B101)</f>
        <v>2.7690419986349206</v>
      </c>
    </row>
    <row r="27" spans="1:6" x14ac:dyDescent="0.2">
      <c r="A27" s="2" t="s">
        <v>2</v>
      </c>
      <c r="B27" s="3">
        <v>6.968</v>
      </c>
      <c r="E27" s="4" t="s">
        <v>7</v>
      </c>
      <c r="F27" s="6"/>
    </row>
    <row r="28" spans="1:6" x14ac:dyDescent="0.2">
      <c r="A28" s="2" t="s">
        <v>2</v>
      </c>
      <c r="B28" s="3">
        <v>4.8529999999999998</v>
      </c>
      <c r="E28" s="4" t="s">
        <v>8</v>
      </c>
      <c r="F28" s="6"/>
    </row>
    <row r="29" spans="1:6" x14ac:dyDescent="0.2">
      <c r="A29" s="2" t="s">
        <v>2</v>
      </c>
      <c r="B29" s="3">
        <v>5.5E-2</v>
      </c>
      <c r="E29" s="4" t="s">
        <v>9</v>
      </c>
      <c r="F29" s="6"/>
    </row>
    <row r="30" spans="1:6" x14ac:dyDescent="0.2">
      <c r="A30" s="2" t="s">
        <v>2</v>
      </c>
      <c r="B30" s="3">
        <v>2.68</v>
      </c>
      <c r="E30" s="4" t="s">
        <v>10</v>
      </c>
      <c r="F30" s="6"/>
    </row>
    <row r="31" spans="1:6" x14ac:dyDescent="0.2">
      <c r="A31" s="2" t="s">
        <v>2</v>
      </c>
      <c r="B31" s="3">
        <v>3.746</v>
      </c>
    </row>
    <row r="32" spans="1:6" x14ac:dyDescent="0.2">
      <c r="A32" s="2" t="s">
        <v>2</v>
      </c>
      <c r="B32" s="3">
        <v>7.0330000000000004</v>
      </c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12</v>
      </c>
      <c r="B52" s="3">
        <v>-1.087</v>
      </c>
    </row>
    <row r="53" spans="1:2" x14ac:dyDescent="0.2">
      <c r="A53" s="2" t="s">
        <v>12</v>
      </c>
      <c r="B53" s="3">
        <v>1.819</v>
      </c>
    </row>
    <row r="54" spans="1:2" x14ac:dyDescent="0.2">
      <c r="A54" s="2" t="s">
        <v>12</v>
      </c>
      <c r="B54" s="3">
        <v>7.3999999999999996E-2</v>
      </c>
    </row>
    <row r="55" spans="1:2" x14ac:dyDescent="0.2">
      <c r="A55" s="2" t="s">
        <v>12</v>
      </c>
      <c r="B55" s="3">
        <v>1.7549999999999999</v>
      </c>
    </row>
    <row r="56" spans="1:2" x14ac:dyDescent="0.2">
      <c r="A56" s="2" t="s">
        <v>12</v>
      </c>
      <c r="B56" s="3">
        <v>1.889</v>
      </c>
    </row>
    <row r="57" spans="1:2" x14ac:dyDescent="0.2">
      <c r="A57" s="2" t="s">
        <v>12</v>
      </c>
      <c r="B57" s="3">
        <v>3.089</v>
      </c>
    </row>
    <row r="58" spans="1:2" x14ac:dyDescent="0.2">
      <c r="A58" s="2" t="s">
        <v>12</v>
      </c>
      <c r="B58" s="3">
        <v>4.008</v>
      </c>
    </row>
    <row r="59" spans="1:2" x14ac:dyDescent="0.2">
      <c r="A59" s="2" t="s">
        <v>12</v>
      </c>
      <c r="B59" s="3">
        <v>4.5510000000000002</v>
      </c>
    </row>
    <row r="60" spans="1:2" x14ac:dyDescent="0.2">
      <c r="A60" s="2" t="s">
        <v>12</v>
      </c>
      <c r="B60" s="3">
        <v>1.3720000000000001</v>
      </c>
    </row>
    <row r="61" spans="1:2" x14ac:dyDescent="0.2">
      <c r="A61" s="2" t="s">
        <v>12</v>
      </c>
      <c r="B61" s="3">
        <v>3.4129999999999998</v>
      </c>
    </row>
    <row r="62" spans="1:2" x14ac:dyDescent="0.2">
      <c r="A62" s="2" t="s">
        <v>12</v>
      </c>
      <c r="B62" s="3">
        <v>-4.1479999999999997</v>
      </c>
    </row>
    <row r="63" spans="1:2" x14ac:dyDescent="0.2">
      <c r="A63" s="2" t="s">
        <v>12</v>
      </c>
      <c r="B63" s="3">
        <v>2.823</v>
      </c>
    </row>
    <row r="64" spans="1:2" x14ac:dyDescent="0.2">
      <c r="A64" s="2" t="s">
        <v>12</v>
      </c>
      <c r="B64" s="3">
        <v>2.8650000000000002</v>
      </c>
    </row>
    <row r="65" spans="1:2" x14ac:dyDescent="0.2">
      <c r="A65" s="2" t="s">
        <v>12</v>
      </c>
      <c r="B65" s="3">
        <v>4.3689999999999998</v>
      </c>
    </row>
    <row r="66" spans="1:2" x14ac:dyDescent="0.2">
      <c r="A66" s="2" t="s">
        <v>12</v>
      </c>
      <c r="B66" s="3">
        <v>6.3369999999999997</v>
      </c>
    </row>
    <row r="67" spans="1:2" x14ac:dyDescent="0.2">
      <c r="A67" s="2" t="s">
        <v>12</v>
      </c>
      <c r="B67" s="3">
        <v>6.3079999999999998</v>
      </c>
    </row>
    <row r="68" spans="1:2" x14ac:dyDescent="0.2">
      <c r="A68" s="2" t="s">
        <v>12</v>
      </c>
      <c r="B68" s="3">
        <v>3.4940000000000002</v>
      </c>
    </row>
    <row r="69" spans="1:2" x14ac:dyDescent="0.2">
      <c r="A69" s="2" t="s">
        <v>12</v>
      </c>
      <c r="B69" s="3">
        <v>10.539</v>
      </c>
    </row>
    <row r="70" spans="1:2" x14ac:dyDescent="0.2">
      <c r="A70" s="2" t="s">
        <v>12</v>
      </c>
      <c r="B70" s="3">
        <v>3.84</v>
      </c>
    </row>
    <row r="71" spans="1:2" x14ac:dyDescent="0.2">
      <c r="A71" s="2" t="s">
        <v>12</v>
      </c>
      <c r="B71" s="3">
        <v>5.1230000000000002</v>
      </c>
    </row>
    <row r="72" spans="1:2" x14ac:dyDescent="0.2">
      <c r="A72" s="2" t="s">
        <v>12</v>
      </c>
      <c r="B72" s="3">
        <v>5.4850000000000003</v>
      </c>
    </row>
    <row r="73" spans="1:2" x14ac:dyDescent="0.2">
      <c r="A73" s="2" t="s">
        <v>12</v>
      </c>
      <c r="B73" s="3">
        <v>-1.8939999999999999</v>
      </c>
    </row>
    <row r="74" spans="1:2" x14ac:dyDescent="0.2">
      <c r="A74" s="2" t="s">
        <v>12</v>
      </c>
      <c r="B74" s="3">
        <v>8.016</v>
      </c>
    </row>
    <row r="75" spans="1:2" x14ac:dyDescent="0.2">
      <c r="A75" s="2" t="s">
        <v>12</v>
      </c>
      <c r="B75" s="3">
        <v>2.31</v>
      </c>
    </row>
    <row r="76" spans="1:2" x14ac:dyDescent="0.2">
      <c r="A76" s="2" t="s">
        <v>12</v>
      </c>
      <c r="B76" s="3">
        <v>3.8820000000000001</v>
      </c>
    </row>
    <row r="77" spans="1:2" x14ac:dyDescent="0.2">
      <c r="A77" s="2" t="s">
        <v>12</v>
      </c>
      <c r="B77" s="3">
        <v>7.03</v>
      </c>
    </row>
    <row r="78" spans="1:2" x14ac:dyDescent="0.2">
      <c r="A78" s="2" t="s">
        <v>12</v>
      </c>
      <c r="B78" s="3">
        <v>7.7270000000000003</v>
      </c>
    </row>
    <row r="79" spans="1:2" x14ac:dyDescent="0.2">
      <c r="A79" s="2" t="s">
        <v>12</v>
      </c>
      <c r="B79" s="3">
        <v>0.105</v>
      </c>
    </row>
    <row r="80" spans="1:2" x14ac:dyDescent="0.2">
      <c r="A80" s="2" t="s">
        <v>12</v>
      </c>
      <c r="B80" s="3">
        <v>3.65</v>
      </c>
    </row>
    <row r="81" spans="1:2" x14ac:dyDescent="0.2">
      <c r="A81" s="2" t="s">
        <v>12</v>
      </c>
      <c r="B81" s="3">
        <v>4.5469999999999997</v>
      </c>
    </row>
    <row r="82" spans="1:2" x14ac:dyDescent="0.2">
      <c r="A82" s="2" t="s">
        <v>12</v>
      </c>
      <c r="B82" s="3">
        <v>4.9850000000000003</v>
      </c>
    </row>
    <row r="83" spans="1:2" x14ac:dyDescent="0.2">
      <c r="A83" s="2" t="s">
        <v>12</v>
      </c>
      <c r="B83" s="3">
        <v>5.1589999999999998</v>
      </c>
    </row>
    <row r="84" spans="1:2" x14ac:dyDescent="0.2">
      <c r="A84" s="2" t="s">
        <v>12</v>
      </c>
      <c r="B84" s="3">
        <v>4.76</v>
      </c>
    </row>
    <row r="85" spans="1:2" x14ac:dyDescent="0.2">
      <c r="A85" s="2" t="s">
        <v>12</v>
      </c>
      <c r="B85" s="3">
        <v>4.9340000000000002</v>
      </c>
    </row>
    <row r="86" spans="1:2" x14ac:dyDescent="0.2">
      <c r="A86" s="2" t="s">
        <v>12</v>
      </c>
      <c r="B86" s="3">
        <v>3.1059999999999999</v>
      </c>
    </row>
    <row r="87" spans="1:2" x14ac:dyDescent="0.2">
      <c r="A87" s="2" t="s">
        <v>12</v>
      </c>
      <c r="B87" s="3">
        <v>5.5979999999999999</v>
      </c>
    </row>
    <row r="88" spans="1:2" x14ac:dyDescent="0.2">
      <c r="A88" s="2" t="s">
        <v>12</v>
      </c>
      <c r="B88" s="3">
        <v>2.1619999999999999</v>
      </c>
    </row>
    <row r="89" spans="1:2" x14ac:dyDescent="0.2">
      <c r="A89" s="2" t="s">
        <v>12</v>
      </c>
      <c r="B89" s="3">
        <v>6.52</v>
      </c>
    </row>
    <row r="90" spans="1:2" x14ac:dyDescent="0.2">
      <c r="A90" s="2" t="s">
        <v>12</v>
      </c>
      <c r="B90" s="3">
        <v>7.0460000000000003</v>
      </c>
    </row>
    <row r="91" spans="1:2" x14ac:dyDescent="0.2">
      <c r="A91" s="2" t="s">
        <v>12</v>
      </c>
      <c r="B91" s="3">
        <v>1.7569999999999999</v>
      </c>
    </row>
    <row r="92" spans="1:2" x14ac:dyDescent="0.2">
      <c r="A92" s="2" t="s">
        <v>12</v>
      </c>
      <c r="B92" s="3">
        <v>1.8480000000000001</v>
      </c>
    </row>
    <row r="93" spans="1:2" x14ac:dyDescent="0.2">
      <c r="A93" s="2" t="s">
        <v>12</v>
      </c>
      <c r="B93" s="3">
        <v>1.0960000000000001</v>
      </c>
    </row>
    <row r="94" spans="1:2" x14ac:dyDescent="0.2">
      <c r="A94" s="2" t="s">
        <v>12</v>
      </c>
      <c r="B94" s="3">
        <v>2.145</v>
      </c>
    </row>
    <row r="95" spans="1:2" x14ac:dyDescent="0.2">
      <c r="A95" s="2" t="s">
        <v>12</v>
      </c>
      <c r="B95" s="3">
        <v>8.4350000000000005</v>
      </c>
    </row>
    <row r="96" spans="1:2" x14ac:dyDescent="0.2">
      <c r="A96" s="2" t="s">
        <v>12</v>
      </c>
      <c r="B96" s="3">
        <v>6.0990000000000002</v>
      </c>
    </row>
    <row r="97" spans="1:2" x14ac:dyDescent="0.2">
      <c r="A97" s="2" t="s">
        <v>12</v>
      </c>
      <c r="B97" s="3">
        <v>3.972</v>
      </c>
    </row>
    <row r="98" spans="1:2" x14ac:dyDescent="0.2">
      <c r="A98" s="2" t="s">
        <v>12</v>
      </c>
      <c r="B98" s="3">
        <v>2.4089999999999998</v>
      </c>
    </row>
    <row r="99" spans="1:2" x14ac:dyDescent="0.2">
      <c r="A99" s="2" t="s">
        <v>12</v>
      </c>
      <c r="B99" s="3">
        <v>0.56899999999999995</v>
      </c>
    </row>
    <row r="100" spans="1:2" x14ac:dyDescent="0.2">
      <c r="A100" s="2" t="s">
        <v>12</v>
      </c>
      <c r="B100" s="3">
        <v>7.0129999999999999</v>
      </c>
    </row>
    <row r="101" spans="1:2" x14ac:dyDescent="0.2">
      <c r="A101" s="2" t="s">
        <v>12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Matilda Nilsson</cp:lastModifiedBy>
  <cp:revision/>
  <dcterms:created xsi:type="dcterms:W3CDTF">2006-09-15T14:24:12Z</dcterms:created>
  <dcterms:modified xsi:type="dcterms:W3CDTF">2025-10-20T14:31:40Z</dcterms:modified>
  <cp:category/>
  <cp:contentStatus/>
</cp:coreProperties>
</file>